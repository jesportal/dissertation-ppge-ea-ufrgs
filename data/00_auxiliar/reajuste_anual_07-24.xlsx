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essi\OneDrive\Dados\CMED\"/>
    </mc:Choice>
  </mc:AlternateContent>
  <xr:revisionPtr revIDLastSave="0" documentId="13_ncr:1_{B5DFD7FA-8EE8-4378-A33D-C185EC95F6B0}" xr6:coauthVersionLast="47" xr6:coauthVersionMax="47" xr10:uidLastSave="{00000000-0000-0000-0000-000000000000}"/>
  <bookViews>
    <workbookView xWindow="-108" yWindow="-108" windowWidth="23256" windowHeight="12456" xr2:uid="{8A51BD91-A9D9-4679-B8D2-2CB1509145D9}"/>
  </bookViews>
  <sheets>
    <sheet name="reajuste_anual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4" i="1" l="1"/>
  <c r="J5" i="1"/>
  <c r="J6" i="1"/>
  <c r="J7" i="1"/>
  <c r="J8" i="1"/>
  <c r="J9" i="1"/>
  <c r="J10" i="1"/>
  <c r="J11" i="1"/>
  <c r="J13" i="1"/>
  <c r="J14" i="1"/>
  <c r="J15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I4" i="1"/>
  <c r="I3" i="1"/>
  <c r="J3" i="1" s="1"/>
  <c r="I7" i="1"/>
  <c r="I6" i="1"/>
  <c r="I10" i="1"/>
  <c r="I9" i="1"/>
  <c r="I25" i="1"/>
  <c r="I24" i="1"/>
  <c r="I22" i="1"/>
  <c r="I21" i="1"/>
  <c r="H20" i="1"/>
  <c r="J20" i="1" s="1"/>
  <c r="I19" i="1"/>
  <c r="H19" i="1"/>
  <c r="J19" i="1" s="1"/>
  <c r="I18" i="1"/>
  <c r="H18" i="1"/>
  <c r="J18" i="1" s="1"/>
  <c r="H17" i="1"/>
  <c r="J17" i="1" s="1"/>
  <c r="I16" i="1"/>
  <c r="H16" i="1"/>
  <c r="J16" i="1" s="1"/>
  <c r="I15" i="1"/>
  <c r="H15" i="1"/>
  <c r="H14" i="1"/>
  <c r="I13" i="1"/>
  <c r="H13" i="1"/>
  <c r="I12" i="1"/>
  <c r="H12" i="1"/>
  <c r="J12" i="1" s="1"/>
</calcChain>
</file>

<file path=xl/sharedStrings.xml><?xml version="1.0" encoding="utf-8"?>
<sst xmlns="http://schemas.openxmlformats.org/spreadsheetml/2006/main" count="9" uniqueCount="9">
  <si>
    <t>VPP</t>
  </si>
  <si>
    <t>IPCA</t>
  </si>
  <si>
    <t>Fator X</t>
  </si>
  <si>
    <t>Fator Y</t>
  </si>
  <si>
    <t>Fator Z</t>
  </si>
  <si>
    <t>Ano</t>
  </si>
  <si>
    <t>Data Início</t>
  </si>
  <si>
    <t>Data Fim</t>
  </si>
  <si>
    <t>Nível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</si>
</sst>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3">
    <font>
      <sz val="11"/>
      <color theme="1"/>
      <name val="Aptos Narrow"/>
      <family val="2"/>
      <scheme val="minor"/>
    </font>
    <font>
      <sz val="9"/>
      <color theme="1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>
      <alignment vertical="center"/>
    </xf>
    <xf numFmtId="2" fontId="2" fillId="0" borderId="0" xfId="0" applyNumberFormat="1" applyFont="1" applyAlignment="1">
      <alignment horizont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2" formatCode="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numFmt numFmtId="19" formatCode="dd/mm/yyyy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theme="0" tint="-4.9989318521683403E-2"/>
        </patternFill>
      </fill>
    </dxf>
    <dxf>
      <font>
        <b/>
        <i val="0"/>
        <color theme="1" tint="0.14996795556505021"/>
      </font>
      <border>
        <bottom style="thin">
          <color theme="1" tint="0.24994659260841701"/>
        </bottom>
      </border>
    </dxf>
    <dxf>
      <font>
        <color theme="1" tint="0.24994659260841701"/>
      </font>
      <border>
        <bottom style="thin">
          <color theme="1" tint="0.24994659260841701"/>
        </bottom>
      </border>
    </dxf>
  </dxfs>
  <tableStyles count="1" defaultTableStyle="TableStyleMedium2" defaultPivotStyle="PivotStyleLight16">
    <tableStyle name="Estilo de Tabela 1" pivot="0" count="3" xr9:uid="{AD1DDE5D-F2DE-4090-9245-E9C3382FEC90}">
      <tableStyleElement type="wholeTable" dxfId="13"/>
      <tableStyleElement type="headerRow" dxfId="12"/>
      <tableStyleElement type="firstRowStripe" dxfId="1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essi\AppData\Roaming\Microsoft\Excel\Fator%20Y_2021%20-%20Copia%20(version%201).xlsb" TargetMode="External"/><Relationship Id="rId1" Type="http://schemas.openxmlformats.org/officeDocument/2006/relationships/externalLinkPath" Target="file:///C:\Users\jessi\AppData\Roaming\Microsoft\Excel\Fator%20Y_2021%20-%20Copia%20(version%201).xlsb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nu"/>
      <sheetName val="Glossário e instruções"/>
      <sheetName val="Cálculo do Y"/>
      <sheetName val="Dados_Câmbio"/>
      <sheetName val="Dados_Energia"/>
      <sheetName val="Variação_Anual"/>
      <sheetName val="Pesos"/>
      <sheetName val="2005_Tab03"/>
      <sheetName val="2005_Tab04"/>
      <sheetName val="2010_Tab03"/>
      <sheetName val="2010_Tab04"/>
      <sheetName val="2015_Tab03"/>
      <sheetName val="2015_Tab04"/>
      <sheetName val="Histórico do Fator Y"/>
      <sheetName val="Gráfico"/>
      <sheetName val="IPCA_mensal"/>
      <sheetName val="Impacto"/>
    </sheetNames>
    <sheetDataSet>
      <sheetData sheetId="0"/>
      <sheetData sheetId="1"/>
      <sheetData sheetId="2">
        <row r="12">
          <cell r="X12">
            <v>0.44333687565155477</v>
          </cell>
        </row>
        <row r="13">
          <cell r="X13">
            <v>1.2018099543428304</v>
          </cell>
        </row>
        <row r="14">
          <cell r="X14">
            <v>4.8792111837992227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31C0BD2-0300-4B14-8D78-6401E277428C}" name="Tabela1" displayName="Tabela1" ref="B2:J56" totalsRowShown="0" headerRowDxfId="10" dataDxfId="9">
  <autoFilter ref="B2:J56" xr:uid="{631C0BD2-0300-4B14-8D78-6401E277428C}"/>
  <tableColumns count="9">
    <tableColumn id="1" xr3:uid="{EA2B7520-5A5A-4230-AC39-782BCE785248}" name="Ano" dataDxfId="8"/>
    <tableColumn id="2" xr3:uid="{D7F115C2-A737-4825-B2E6-4055A4D509B2}" name="Data Início" dataDxfId="7"/>
    <tableColumn id="3" xr3:uid="{B096AB38-E213-418E-A4E4-A9B78336EA09}" name="Data Fim" dataDxfId="6"/>
    <tableColumn id="4" xr3:uid="{46BCEC0C-E7C6-4C54-A4A6-BDD33496ACF1}" name="Nível" dataDxfId="5"/>
    <tableColumn id="5" xr3:uid="{9DD0FE91-A910-4E92-8A60-512D33A8896D}" name="IPCA" dataDxfId="4"/>
    <tableColumn id="6" xr3:uid="{A377708A-B090-4657-A750-D4AE105B2F86}" name="Fator X" dataDxfId="3"/>
    <tableColumn id="7" xr3:uid="{AD8221F0-D4EB-42F3-9FB1-1F03BEC3E669}" name="Fator Y" dataDxfId="2"/>
    <tableColumn id="8" xr3:uid="{4C98CC9B-EECE-4463-A9C8-FAA42DE480B3}" name="Fator Z" dataDxfId="1"/>
    <tableColumn id="9" xr3:uid="{68AB83F9-5E5A-42C9-A7DE-2B168EEFCC4E}" name="VPP" dataDxfId="0">
      <calculatedColumnFormula>F3-G3+H3+I3</calculatedColumnFormula>
    </tableColumn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405E1-76CD-4E1C-93EE-D88585EB1F42}">
  <dimension ref="B2:J57"/>
  <sheetViews>
    <sheetView showGridLines="0" tabSelected="1" workbookViewId="0">
      <selection activeCell="O10" sqref="O10"/>
    </sheetView>
  </sheetViews>
  <sheetFormatPr defaultRowHeight="13.8"/>
  <cols>
    <col min="2" max="2" width="5.3984375" bestFit="1" customWidth="1"/>
    <col min="3" max="3" width="10" customWidth="1"/>
    <col min="5" max="5" width="6.3984375" bestFit="1" customWidth="1"/>
    <col min="6" max="6" width="6.09765625" bestFit="1" customWidth="1"/>
    <col min="7" max="8" width="7.796875" bestFit="1" customWidth="1"/>
    <col min="9" max="9" width="7.59765625" bestFit="1" customWidth="1"/>
    <col min="10" max="10" width="5.59765625" bestFit="1" customWidth="1"/>
  </cols>
  <sheetData>
    <row r="2" spans="2:10" s="10" customFormat="1">
      <c r="B2" s="11" t="s">
        <v>5</v>
      </c>
      <c r="C2" s="11" t="s">
        <v>6</v>
      </c>
      <c r="D2" s="11" t="s">
        <v>7</v>
      </c>
      <c r="E2" s="11" t="s">
        <v>8</v>
      </c>
      <c r="F2" s="11" t="s">
        <v>1</v>
      </c>
      <c r="G2" s="11" t="s">
        <v>2</v>
      </c>
      <c r="H2" s="11" t="s">
        <v>3</v>
      </c>
      <c r="I2" s="11" t="s">
        <v>4</v>
      </c>
      <c r="J2" s="11" t="s">
        <v>0</v>
      </c>
    </row>
    <row r="3" spans="2:10">
      <c r="B3" s="8">
        <v>2024</v>
      </c>
      <c r="C3" s="3">
        <v>45382</v>
      </c>
      <c r="D3" s="3">
        <v>45746</v>
      </c>
      <c r="E3" s="2">
        <v>1</v>
      </c>
      <c r="F3" s="4">
        <v>4.5</v>
      </c>
      <c r="G3" s="5">
        <v>0</v>
      </c>
      <c r="H3" s="5">
        <v>0</v>
      </c>
      <c r="I3" s="5">
        <f>G3</f>
        <v>0</v>
      </c>
      <c r="J3" s="9">
        <f>F3-G3+H3+I3</f>
        <v>4.5</v>
      </c>
    </row>
    <row r="4" spans="2:10">
      <c r="B4" s="8">
        <v>2024</v>
      </c>
      <c r="C4" s="3">
        <v>45382</v>
      </c>
      <c r="D4" s="3">
        <v>45746</v>
      </c>
      <c r="E4" s="2">
        <v>2</v>
      </c>
      <c r="F4" s="4">
        <v>4.5</v>
      </c>
      <c r="G4" s="5">
        <v>0</v>
      </c>
      <c r="H4" s="5">
        <v>0</v>
      </c>
      <c r="I4" s="5">
        <f>G4/2</f>
        <v>0</v>
      </c>
      <c r="J4" s="9">
        <f t="shared" ref="J4:J56" si="0">F4-G4+H4+I4</f>
        <v>4.5</v>
      </c>
    </row>
    <row r="5" spans="2:10">
      <c r="B5" s="8">
        <v>2024</v>
      </c>
      <c r="C5" s="3">
        <v>45382</v>
      </c>
      <c r="D5" s="3">
        <v>45746</v>
      </c>
      <c r="E5" s="2">
        <v>3</v>
      </c>
      <c r="F5" s="4">
        <v>4.5</v>
      </c>
      <c r="G5" s="5">
        <v>0</v>
      </c>
      <c r="H5" s="5">
        <v>0</v>
      </c>
      <c r="I5" s="5">
        <v>0</v>
      </c>
      <c r="J5" s="9">
        <f t="shared" si="0"/>
        <v>4.5</v>
      </c>
    </row>
    <row r="6" spans="2:10">
      <c r="B6" s="8">
        <v>2023</v>
      </c>
      <c r="C6" s="3">
        <v>45016</v>
      </c>
      <c r="D6" s="3">
        <v>45381</v>
      </c>
      <c r="E6" s="2">
        <v>1</v>
      </c>
      <c r="F6" s="4">
        <v>5.6</v>
      </c>
      <c r="G6" s="5">
        <v>0</v>
      </c>
      <c r="H6" s="5">
        <v>0</v>
      </c>
      <c r="I6" s="5">
        <f>G6</f>
        <v>0</v>
      </c>
      <c r="J6" s="9">
        <f t="shared" si="0"/>
        <v>5.6</v>
      </c>
    </row>
    <row r="7" spans="2:10">
      <c r="B7" s="8">
        <v>2023</v>
      </c>
      <c r="C7" s="3">
        <v>45016</v>
      </c>
      <c r="D7" s="3">
        <v>45381</v>
      </c>
      <c r="E7" s="2">
        <v>2</v>
      </c>
      <c r="F7" s="4">
        <v>5.6</v>
      </c>
      <c r="G7" s="5">
        <v>0</v>
      </c>
      <c r="H7" s="5">
        <v>0</v>
      </c>
      <c r="I7" s="5">
        <f>G7/2</f>
        <v>0</v>
      </c>
      <c r="J7" s="9">
        <f t="shared" si="0"/>
        <v>5.6</v>
      </c>
    </row>
    <row r="8" spans="2:10">
      <c r="B8" s="8">
        <v>2023</v>
      </c>
      <c r="C8" s="3">
        <v>45016</v>
      </c>
      <c r="D8" s="3">
        <v>45381</v>
      </c>
      <c r="E8" s="2">
        <v>3</v>
      </c>
      <c r="F8" s="4">
        <v>5.6</v>
      </c>
      <c r="G8" s="5">
        <v>0</v>
      </c>
      <c r="H8" s="5">
        <v>0</v>
      </c>
      <c r="I8" s="5">
        <v>0</v>
      </c>
      <c r="J8" s="9">
        <f t="shared" si="0"/>
        <v>5.6</v>
      </c>
    </row>
    <row r="9" spans="2:10">
      <c r="B9" s="8">
        <v>2022</v>
      </c>
      <c r="C9" s="3">
        <v>44651</v>
      </c>
      <c r="D9" s="3">
        <v>45015</v>
      </c>
      <c r="E9" s="2">
        <v>1</v>
      </c>
      <c r="F9" s="4">
        <v>10.54</v>
      </c>
      <c r="G9" s="5">
        <v>0</v>
      </c>
      <c r="H9" s="5">
        <v>0.35</v>
      </c>
      <c r="I9" s="5">
        <f>G9</f>
        <v>0</v>
      </c>
      <c r="J9" s="9">
        <f t="shared" si="0"/>
        <v>10.889999999999999</v>
      </c>
    </row>
    <row r="10" spans="2:10">
      <c r="B10" s="8">
        <v>2022</v>
      </c>
      <c r="C10" s="3">
        <v>44651</v>
      </c>
      <c r="D10" s="3">
        <v>45015</v>
      </c>
      <c r="E10" s="2">
        <v>2</v>
      </c>
      <c r="F10" s="4">
        <v>10.54</v>
      </c>
      <c r="G10" s="5">
        <v>0</v>
      </c>
      <c r="H10" s="5">
        <v>0.35</v>
      </c>
      <c r="I10" s="5">
        <f>G10/2</f>
        <v>0</v>
      </c>
      <c r="J10" s="9">
        <f t="shared" si="0"/>
        <v>10.889999999999999</v>
      </c>
    </row>
    <row r="11" spans="2:10">
      <c r="B11" s="8">
        <v>2022</v>
      </c>
      <c r="C11" s="3">
        <v>44651</v>
      </c>
      <c r="D11" s="3">
        <v>45015</v>
      </c>
      <c r="E11" s="2">
        <v>3</v>
      </c>
      <c r="F11" s="4">
        <v>10.54</v>
      </c>
      <c r="G11" s="5">
        <v>0</v>
      </c>
      <c r="H11" s="5">
        <v>0.35</v>
      </c>
      <c r="I11" s="5">
        <v>0</v>
      </c>
      <c r="J11" s="9">
        <f t="shared" si="0"/>
        <v>10.889999999999999</v>
      </c>
    </row>
    <row r="12" spans="2:10">
      <c r="B12" s="8">
        <v>2021</v>
      </c>
      <c r="C12" s="3">
        <v>44286</v>
      </c>
      <c r="D12" s="3">
        <v>44650</v>
      </c>
      <c r="E12" s="2">
        <v>1</v>
      </c>
      <c r="F12" s="4">
        <v>5.2</v>
      </c>
      <c r="G12" s="5">
        <v>3.29</v>
      </c>
      <c r="H12" s="5">
        <f>'[1]Cálculo do Y'!$X$14</f>
        <v>4.8792111837992227</v>
      </c>
      <c r="I12" s="5">
        <f>G12</f>
        <v>3.29</v>
      </c>
      <c r="J12" s="9">
        <f t="shared" si="0"/>
        <v>10.079211183799224</v>
      </c>
    </row>
    <row r="13" spans="2:10">
      <c r="B13" s="8">
        <v>2021</v>
      </c>
      <c r="C13" s="3">
        <v>44286</v>
      </c>
      <c r="D13" s="3">
        <v>44650</v>
      </c>
      <c r="E13" s="2">
        <v>2</v>
      </c>
      <c r="F13" s="4">
        <v>5.2</v>
      </c>
      <c r="G13" s="5">
        <v>3.29</v>
      </c>
      <c r="H13" s="5">
        <f>'[1]Cálculo do Y'!$X$14</f>
        <v>4.8792111837992227</v>
      </c>
      <c r="I13" s="5">
        <f>G13/2</f>
        <v>1.645</v>
      </c>
      <c r="J13" s="9">
        <f t="shared" si="0"/>
        <v>8.4342111837992224</v>
      </c>
    </row>
    <row r="14" spans="2:10">
      <c r="B14" s="8">
        <v>2021</v>
      </c>
      <c r="C14" s="3">
        <v>44286</v>
      </c>
      <c r="D14" s="3">
        <v>44650</v>
      </c>
      <c r="E14" s="2">
        <v>3</v>
      </c>
      <c r="F14" s="4">
        <v>5.2</v>
      </c>
      <c r="G14" s="5">
        <v>3.29</v>
      </c>
      <c r="H14" s="5">
        <f>'[1]Cálculo do Y'!$X$14</f>
        <v>4.8792111837992227</v>
      </c>
      <c r="I14" s="5">
        <v>0</v>
      </c>
      <c r="J14" s="9">
        <f t="shared" si="0"/>
        <v>6.7892111837992228</v>
      </c>
    </row>
    <row r="15" spans="2:10">
      <c r="B15" s="8">
        <v>2020</v>
      </c>
      <c r="C15" s="3">
        <v>43921</v>
      </c>
      <c r="D15" s="3">
        <v>44285</v>
      </c>
      <c r="E15" s="2">
        <v>1</v>
      </c>
      <c r="F15" s="4">
        <v>4.01</v>
      </c>
      <c r="G15" s="5">
        <v>1.98</v>
      </c>
      <c r="H15" s="5">
        <f>'[1]Cálculo do Y'!$X$13</f>
        <v>1.2018099543428304</v>
      </c>
      <c r="I15" s="5">
        <f>G15</f>
        <v>1.98</v>
      </c>
      <c r="J15" s="9">
        <f t="shared" si="0"/>
        <v>5.2118099543428302</v>
      </c>
    </row>
    <row r="16" spans="2:10">
      <c r="B16" s="8">
        <v>2020</v>
      </c>
      <c r="C16" s="3">
        <v>43921</v>
      </c>
      <c r="D16" s="3">
        <v>44285</v>
      </c>
      <c r="E16" s="2">
        <v>2</v>
      </c>
      <c r="F16" s="4">
        <v>4.01</v>
      </c>
      <c r="G16" s="5">
        <v>1.98</v>
      </c>
      <c r="H16" s="5">
        <f>'[1]Cálculo do Y'!$X$13</f>
        <v>1.2018099543428304</v>
      </c>
      <c r="I16" s="5">
        <f>G16/2</f>
        <v>0.99</v>
      </c>
      <c r="J16" s="9">
        <f t="shared" si="0"/>
        <v>4.22180995434283</v>
      </c>
    </row>
    <row r="17" spans="2:10">
      <c r="B17" s="8">
        <v>2020</v>
      </c>
      <c r="C17" s="3">
        <v>43921</v>
      </c>
      <c r="D17" s="3">
        <v>44285</v>
      </c>
      <c r="E17" s="2">
        <v>3</v>
      </c>
      <c r="F17" s="4">
        <v>4.01</v>
      </c>
      <c r="G17" s="5">
        <v>1.98</v>
      </c>
      <c r="H17" s="5">
        <f>'[1]Cálculo do Y'!$X$13</f>
        <v>1.2018099543428304</v>
      </c>
      <c r="I17" s="5">
        <v>0</v>
      </c>
      <c r="J17" s="9">
        <f t="shared" si="0"/>
        <v>3.2318099543428302</v>
      </c>
    </row>
    <row r="18" spans="2:10">
      <c r="B18" s="8">
        <v>2019</v>
      </c>
      <c r="C18" s="3">
        <v>43555</v>
      </c>
      <c r="D18" s="3">
        <v>43920</v>
      </c>
      <c r="E18" s="2">
        <v>1</v>
      </c>
      <c r="F18" s="4">
        <v>3.89</v>
      </c>
      <c r="G18" s="5">
        <v>0</v>
      </c>
      <c r="H18" s="5">
        <f>'[1]Cálculo do Y'!$X$12</f>
        <v>0.44333687565155477</v>
      </c>
      <c r="I18" s="5">
        <f>G18</f>
        <v>0</v>
      </c>
      <c r="J18" s="9">
        <f t="shared" si="0"/>
        <v>4.3333368756515549</v>
      </c>
    </row>
    <row r="19" spans="2:10">
      <c r="B19" s="8">
        <v>2019</v>
      </c>
      <c r="C19" s="3">
        <v>43555</v>
      </c>
      <c r="D19" s="3">
        <v>43920</v>
      </c>
      <c r="E19" s="2">
        <v>2</v>
      </c>
      <c r="F19" s="4">
        <v>3.89</v>
      </c>
      <c r="G19" s="5">
        <v>0</v>
      </c>
      <c r="H19" s="5">
        <f>'[1]Cálculo do Y'!$X$12</f>
        <v>0.44333687565155477</v>
      </c>
      <c r="I19" s="5">
        <f>G19/2</f>
        <v>0</v>
      </c>
      <c r="J19" s="9">
        <f t="shared" si="0"/>
        <v>4.3333368756515549</v>
      </c>
    </row>
    <row r="20" spans="2:10">
      <c r="B20" s="8">
        <v>2019</v>
      </c>
      <c r="C20" s="3">
        <v>43555</v>
      </c>
      <c r="D20" s="3">
        <v>43920</v>
      </c>
      <c r="E20" s="2">
        <v>3</v>
      </c>
      <c r="F20" s="4">
        <v>3.89</v>
      </c>
      <c r="G20" s="5">
        <v>0</v>
      </c>
      <c r="H20" s="5">
        <f>'[1]Cálculo do Y'!$X$12</f>
        <v>0.44333687565155477</v>
      </c>
      <c r="I20" s="5">
        <v>0</v>
      </c>
      <c r="J20" s="9">
        <f t="shared" si="0"/>
        <v>4.3333368756515549</v>
      </c>
    </row>
    <row r="21" spans="2:10">
      <c r="B21" s="8">
        <v>2018</v>
      </c>
      <c r="C21" s="3">
        <v>43190</v>
      </c>
      <c r="D21" s="3">
        <v>43554</v>
      </c>
      <c r="E21" s="2">
        <v>1</v>
      </c>
      <c r="F21" s="6">
        <v>2.84</v>
      </c>
      <c r="G21" s="5">
        <v>0.75</v>
      </c>
      <c r="H21" s="5">
        <v>0</v>
      </c>
      <c r="I21" s="5">
        <f>G21</f>
        <v>0.75</v>
      </c>
      <c r="J21" s="9">
        <f t="shared" si="0"/>
        <v>2.84</v>
      </c>
    </row>
    <row r="22" spans="2:10">
      <c r="B22" s="8">
        <v>2018</v>
      </c>
      <c r="C22" s="3">
        <v>43190</v>
      </c>
      <c r="D22" s="3">
        <v>43554</v>
      </c>
      <c r="E22" s="2">
        <v>2</v>
      </c>
      <c r="F22" s="6">
        <v>2.84</v>
      </c>
      <c r="G22" s="5">
        <v>0.75</v>
      </c>
      <c r="H22" s="5">
        <v>0</v>
      </c>
      <c r="I22" s="5">
        <f>G22/2</f>
        <v>0.375</v>
      </c>
      <c r="J22" s="9">
        <f t="shared" si="0"/>
        <v>2.4649999999999999</v>
      </c>
    </row>
    <row r="23" spans="2:10">
      <c r="B23" s="8">
        <v>2018</v>
      </c>
      <c r="C23" s="3">
        <v>43190</v>
      </c>
      <c r="D23" s="3">
        <v>43554</v>
      </c>
      <c r="E23" s="2">
        <v>3</v>
      </c>
      <c r="F23" s="6">
        <v>2.84</v>
      </c>
      <c r="G23" s="5">
        <v>0.75</v>
      </c>
      <c r="H23" s="5">
        <v>0</v>
      </c>
      <c r="I23" s="5">
        <v>0</v>
      </c>
      <c r="J23" s="9">
        <f t="shared" si="0"/>
        <v>2.09</v>
      </c>
    </row>
    <row r="24" spans="2:10">
      <c r="B24" s="8">
        <v>2017</v>
      </c>
      <c r="C24" s="3">
        <v>42825</v>
      </c>
      <c r="D24" s="3">
        <v>43189</v>
      </c>
      <c r="E24" s="2">
        <v>1</v>
      </c>
      <c r="F24" s="6">
        <v>4.76</v>
      </c>
      <c r="G24" s="2">
        <v>3.4</v>
      </c>
      <c r="H24" s="5">
        <v>0</v>
      </c>
      <c r="I24" s="7">
        <f>G24</f>
        <v>3.4</v>
      </c>
      <c r="J24" s="9">
        <f t="shared" si="0"/>
        <v>4.76</v>
      </c>
    </row>
    <row r="25" spans="2:10">
      <c r="B25" s="8">
        <v>2017</v>
      </c>
      <c r="C25" s="3">
        <v>42825</v>
      </c>
      <c r="D25" s="3">
        <v>43189</v>
      </c>
      <c r="E25" s="2">
        <v>2</v>
      </c>
      <c r="F25" s="6">
        <v>4.76</v>
      </c>
      <c r="G25" s="2">
        <v>3.4</v>
      </c>
      <c r="H25" s="5">
        <v>0</v>
      </c>
      <c r="I25" s="7">
        <f>G25/2</f>
        <v>1.7</v>
      </c>
      <c r="J25" s="9">
        <f t="shared" si="0"/>
        <v>3.0599999999999996</v>
      </c>
    </row>
    <row r="26" spans="2:10">
      <c r="B26" s="8">
        <v>2017</v>
      </c>
      <c r="C26" s="3">
        <v>42825</v>
      </c>
      <c r="D26" s="3">
        <v>43189</v>
      </c>
      <c r="E26" s="2">
        <v>3</v>
      </c>
      <c r="F26" s="6">
        <v>4.76</v>
      </c>
      <c r="G26" s="2">
        <v>3.4</v>
      </c>
      <c r="H26" s="5">
        <v>0</v>
      </c>
      <c r="I26" s="7">
        <v>0</v>
      </c>
      <c r="J26" s="9">
        <f t="shared" si="0"/>
        <v>1.3599999999999999</v>
      </c>
    </row>
    <row r="27" spans="2:10">
      <c r="B27" s="8">
        <v>2016</v>
      </c>
      <c r="C27" s="3">
        <v>42460</v>
      </c>
      <c r="D27" s="3">
        <v>42824</v>
      </c>
      <c r="E27" s="2">
        <v>1</v>
      </c>
      <c r="F27" s="5">
        <v>10.36</v>
      </c>
      <c r="G27" s="5">
        <v>0</v>
      </c>
      <c r="H27" s="5">
        <v>2.14</v>
      </c>
      <c r="I27" s="5">
        <v>0</v>
      </c>
      <c r="J27" s="9">
        <f t="shared" si="0"/>
        <v>12.5</v>
      </c>
    </row>
    <row r="28" spans="2:10">
      <c r="B28" s="8">
        <v>2016</v>
      </c>
      <c r="C28" s="3">
        <v>42460</v>
      </c>
      <c r="D28" s="3">
        <v>42824</v>
      </c>
      <c r="E28" s="2">
        <v>2</v>
      </c>
      <c r="F28" s="5">
        <v>10.36</v>
      </c>
      <c r="G28" s="5">
        <v>0</v>
      </c>
      <c r="H28" s="5">
        <v>2.14</v>
      </c>
      <c r="I28" s="5">
        <v>0</v>
      </c>
      <c r="J28" s="9">
        <f t="shared" si="0"/>
        <v>12.5</v>
      </c>
    </row>
    <row r="29" spans="2:10">
      <c r="B29" s="8">
        <v>2016</v>
      </c>
      <c r="C29" s="3">
        <v>42460</v>
      </c>
      <c r="D29" s="3">
        <v>42824</v>
      </c>
      <c r="E29" s="2">
        <v>3</v>
      </c>
      <c r="F29" s="5">
        <v>10.36</v>
      </c>
      <c r="G29" s="5">
        <v>0</v>
      </c>
      <c r="H29" s="5">
        <v>2.14</v>
      </c>
      <c r="I29" s="5">
        <v>0</v>
      </c>
      <c r="J29" s="9">
        <f t="shared" si="0"/>
        <v>12.5</v>
      </c>
    </row>
    <row r="30" spans="2:10">
      <c r="B30" s="8">
        <v>2015</v>
      </c>
      <c r="C30" s="3">
        <v>42094</v>
      </c>
      <c r="D30" s="3">
        <v>42459</v>
      </c>
      <c r="E30" s="2">
        <v>1</v>
      </c>
      <c r="F30" s="5">
        <v>7.7</v>
      </c>
      <c r="G30" s="5">
        <v>2.7029999999999998</v>
      </c>
      <c r="H30" s="5">
        <v>0</v>
      </c>
      <c r="I30" s="5">
        <v>2.7029999999999998</v>
      </c>
      <c r="J30" s="9">
        <f t="shared" si="0"/>
        <v>7.6999999999999993</v>
      </c>
    </row>
    <row r="31" spans="2:10">
      <c r="B31" s="8">
        <v>2015</v>
      </c>
      <c r="C31" s="3">
        <v>42094</v>
      </c>
      <c r="D31" s="3">
        <v>42459</v>
      </c>
      <c r="E31" s="2">
        <v>2</v>
      </c>
      <c r="F31" s="5">
        <v>7.7</v>
      </c>
      <c r="G31" s="5">
        <v>2.7029999999999998</v>
      </c>
      <c r="H31" s="5">
        <v>0</v>
      </c>
      <c r="I31" s="5">
        <v>1.3520000000000001</v>
      </c>
      <c r="J31" s="9">
        <f t="shared" si="0"/>
        <v>6.3490000000000002</v>
      </c>
    </row>
    <row r="32" spans="2:10">
      <c r="B32" s="8">
        <v>2015</v>
      </c>
      <c r="C32" s="3">
        <v>42094</v>
      </c>
      <c r="D32" s="3">
        <v>42459</v>
      </c>
      <c r="E32" s="2">
        <v>3</v>
      </c>
      <c r="F32" s="5">
        <v>7.7</v>
      </c>
      <c r="G32" s="5">
        <v>2.7029999999999998</v>
      </c>
      <c r="H32" s="5">
        <v>0</v>
      </c>
      <c r="I32" s="5">
        <v>0</v>
      </c>
      <c r="J32" s="9">
        <f t="shared" si="0"/>
        <v>4.9969999999999999</v>
      </c>
    </row>
    <row r="33" spans="2:10">
      <c r="B33" s="8">
        <v>2014</v>
      </c>
      <c r="C33" s="3">
        <v>41729</v>
      </c>
      <c r="D33" s="3">
        <v>42093</v>
      </c>
      <c r="E33" s="2">
        <v>1</v>
      </c>
      <c r="F33" s="5">
        <v>5.68</v>
      </c>
      <c r="G33" s="5">
        <v>4.66</v>
      </c>
      <c r="H33" s="5">
        <v>0</v>
      </c>
      <c r="I33" s="5">
        <v>4.66</v>
      </c>
      <c r="J33" s="9">
        <f t="shared" si="0"/>
        <v>5.68</v>
      </c>
    </row>
    <row r="34" spans="2:10">
      <c r="B34" s="8">
        <v>2014</v>
      </c>
      <c r="C34" s="3">
        <v>41729</v>
      </c>
      <c r="D34" s="3">
        <v>42093</v>
      </c>
      <c r="E34" s="2">
        <v>2</v>
      </c>
      <c r="F34" s="5">
        <v>5.68</v>
      </c>
      <c r="G34" s="5">
        <v>4.66</v>
      </c>
      <c r="H34" s="5">
        <v>0</v>
      </c>
      <c r="I34" s="5">
        <v>2.33</v>
      </c>
      <c r="J34" s="9">
        <f t="shared" si="0"/>
        <v>3.3499999999999996</v>
      </c>
    </row>
    <row r="35" spans="2:10">
      <c r="B35" s="8">
        <v>2014</v>
      </c>
      <c r="C35" s="3">
        <v>41729</v>
      </c>
      <c r="D35" s="3">
        <v>42093</v>
      </c>
      <c r="E35" s="2">
        <v>3</v>
      </c>
      <c r="F35" s="5">
        <v>5.68</v>
      </c>
      <c r="G35" s="5">
        <v>4.66</v>
      </c>
      <c r="H35" s="5">
        <v>0</v>
      </c>
      <c r="I35" s="5">
        <v>0</v>
      </c>
      <c r="J35" s="9">
        <f t="shared" si="0"/>
        <v>1.0199999999999996</v>
      </c>
    </row>
    <row r="36" spans="2:10">
      <c r="B36" s="8">
        <v>2013</v>
      </c>
      <c r="C36" s="3">
        <v>41364</v>
      </c>
      <c r="D36" s="3">
        <v>41728</v>
      </c>
      <c r="E36" s="2">
        <v>1</v>
      </c>
      <c r="F36" s="5">
        <v>6.31</v>
      </c>
      <c r="G36" s="5">
        <v>3.61</v>
      </c>
      <c r="H36" s="5">
        <v>0</v>
      </c>
      <c r="I36" s="5">
        <v>3.61</v>
      </c>
      <c r="J36" s="9">
        <f t="shared" si="0"/>
        <v>6.31</v>
      </c>
    </row>
    <row r="37" spans="2:10">
      <c r="B37" s="8">
        <v>2013</v>
      </c>
      <c r="C37" s="3">
        <v>41364</v>
      </c>
      <c r="D37" s="3">
        <v>41728</v>
      </c>
      <c r="E37" s="2">
        <v>2</v>
      </c>
      <c r="F37" s="5">
        <v>6.31</v>
      </c>
      <c r="G37" s="5">
        <v>3.61</v>
      </c>
      <c r="H37" s="5">
        <v>0</v>
      </c>
      <c r="I37" s="5">
        <v>1.8049999999999999</v>
      </c>
      <c r="J37" s="9">
        <f t="shared" si="0"/>
        <v>4.5049999999999999</v>
      </c>
    </row>
    <row r="38" spans="2:10">
      <c r="B38" s="8">
        <v>2013</v>
      </c>
      <c r="C38" s="3">
        <v>41364</v>
      </c>
      <c r="D38" s="3">
        <v>41728</v>
      </c>
      <c r="E38" s="2">
        <v>3</v>
      </c>
      <c r="F38" s="5">
        <v>6.31</v>
      </c>
      <c r="G38" s="5">
        <v>3.61</v>
      </c>
      <c r="H38" s="5">
        <v>0</v>
      </c>
      <c r="I38" s="5">
        <v>0</v>
      </c>
      <c r="J38" s="9">
        <f t="shared" si="0"/>
        <v>2.6999999999999997</v>
      </c>
    </row>
    <row r="39" spans="2:10">
      <c r="B39" s="8">
        <v>2012</v>
      </c>
      <c r="C39" s="3">
        <v>40999</v>
      </c>
      <c r="D39" s="3">
        <v>41363</v>
      </c>
      <c r="E39" s="2">
        <v>1</v>
      </c>
      <c r="F39" s="5">
        <v>5.85</v>
      </c>
      <c r="G39" s="5">
        <v>6.1</v>
      </c>
      <c r="H39" s="5">
        <v>0</v>
      </c>
      <c r="I39" s="5">
        <v>6.1</v>
      </c>
      <c r="J39" s="9">
        <f t="shared" si="0"/>
        <v>5.85</v>
      </c>
    </row>
    <row r="40" spans="2:10">
      <c r="B40" s="8">
        <v>2012</v>
      </c>
      <c r="C40" s="3">
        <v>40999</v>
      </c>
      <c r="D40" s="3">
        <v>41363</v>
      </c>
      <c r="E40" s="2">
        <v>2</v>
      </c>
      <c r="F40" s="5">
        <v>5.85</v>
      </c>
      <c r="G40" s="5">
        <v>6.1</v>
      </c>
      <c r="H40" s="5">
        <v>0</v>
      </c>
      <c r="I40" s="5">
        <v>3.05</v>
      </c>
      <c r="J40" s="9">
        <f t="shared" si="0"/>
        <v>2.8</v>
      </c>
    </row>
    <row r="41" spans="2:10">
      <c r="B41" s="8">
        <v>2012</v>
      </c>
      <c r="C41" s="3">
        <v>40999</v>
      </c>
      <c r="D41" s="3">
        <v>41363</v>
      </c>
      <c r="E41" s="2">
        <v>3</v>
      </c>
      <c r="F41" s="5">
        <v>5.85</v>
      </c>
      <c r="G41" s="5">
        <v>6.1</v>
      </c>
      <c r="H41" s="5">
        <v>0</v>
      </c>
      <c r="I41" s="5">
        <v>0</v>
      </c>
      <c r="J41" s="9">
        <f t="shared" si="0"/>
        <v>-0.25</v>
      </c>
    </row>
    <row r="42" spans="2:10">
      <c r="B42" s="8">
        <v>2011</v>
      </c>
      <c r="C42" s="3">
        <v>40633</v>
      </c>
      <c r="D42" s="3">
        <v>40998</v>
      </c>
      <c r="E42" s="2">
        <v>1</v>
      </c>
      <c r="F42" s="5">
        <v>6.01</v>
      </c>
      <c r="G42" s="5">
        <v>2.4700000000000002</v>
      </c>
      <c r="H42" s="5">
        <v>0</v>
      </c>
      <c r="I42" s="5">
        <v>2.4700000000000002</v>
      </c>
      <c r="J42" s="9">
        <f t="shared" si="0"/>
        <v>6.01</v>
      </c>
    </row>
    <row r="43" spans="2:10">
      <c r="B43" s="8">
        <v>2011</v>
      </c>
      <c r="C43" s="3">
        <v>40633</v>
      </c>
      <c r="D43" s="3">
        <v>40998</v>
      </c>
      <c r="E43" s="2">
        <v>2</v>
      </c>
      <c r="F43" s="5">
        <v>6.01</v>
      </c>
      <c r="G43" s="5">
        <v>2.4700000000000002</v>
      </c>
      <c r="H43" s="5">
        <v>0</v>
      </c>
      <c r="I43" s="5">
        <v>1.24</v>
      </c>
      <c r="J43" s="9">
        <f t="shared" si="0"/>
        <v>4.7799999999999994</v>
      </c>
    </row>
    <row r="44" spans="2:10">
      <c r="B44" s="8">
        <v>2011</v>
      </c>
      <c r="C44" s="3">
        <v>40633</v>
      </c>
      <c r="D44" s="3">
        <v>40998</v>
      </c>
      <c r="E44" s="2">
        <v>3</v>
      </c>
      <c r="F44" s="5">
        <v>6.01</v>
      </c>
      <c r="G44" s="5">
        <v>2.4700000000000002</v>
      </c>
      <c r="H44" s="5">
        <v>0</v>
      </c>
      <c r="I44" s="5">
        <v>0</v>
      </c>
      <c r="J44" s="9">
        <f t="shared" si="0"/>
        <v>3.5399999999999996</v>
      </c>
    </row>
    <row r="45" spans="2:10">
      <c r="B45" s="8">
        <v>2010</v>
      </c>
      <c r="C45" s="3">
        <v>40268</v>
      </c>
      <c r="D45" s="3">
        <v>40632</v>
      </c>
      <c r="E45" s="2">
        <v>1</v>
      </c>
      <c r="F45" s="5">
        <v>4.83</v>
      </c>
      <c r="G45" s="5">
        <v>0.38</v>
      </c>
      <c r="H45" s="5">
        <v>0</v>
      </c>
      <c r="I45" s="5">
        <v>0.38</v>
      </c>
      <c r="J45" s="9">
        <f t="shared" si="0"/>
        <v>4.83</v>
      </c>
    </row>
    <row r="46" spans="2:10">
      <c r="B46" s="8">
        <v>2010</v>
      </c>
      <c r="C46" s="3">
        <v>40268</v>
      </c>
      <c r="D46" s="3">
        <v>40632</v>
      </c>
      <c r="E46" s="2">
        <v>2</v>
      </c>
      <c r="F46" s="5">
        <v>4.83</v>
      </c>
      <c r="G46" s="5">
        <v>0.38</v>
      </c>
      <c r="H46" s="5">
        <v>0</v>
      </c>
      <c r="I46" s="5">
        <v>0.19</v>
      </c>
      <c r="J46" s="9">
        <f t="shared" si="0"/>
        <v>4.6400000000000006</v>
      </c>
    </row>
    <row r="47" spans="2:10">
      <c r="B47" s="8">
        <v>2010</v>
      </c>
      <c r="C47" s="3">
        <v>40268</v>
      </c>
      <c r="D47" s="3">
        <v>40632</v>
      </c>
      <c r="E47" s="2">
        <v>3</v>
      </c>
      <c r="F47" s="5">
        <v>4.83</v>
      </c>
      <c r="G47" s="5">
        <v>0.38</v>
      </c>
      <c r="H47" s="5">
        <v>0</v>
      </c>
      <c r="I47" s="5">
        <v>0</v>
      </c>
      <c r="J47" s="9">
        <f t="shared" si="0"/>
        <v>4.45</v>
      </c>
    </row>
    <row r="48" spans="2:10">
      <c r="B48" s="8">
        <v>2009</v>
      </c>
      <c r="C48" s="3">
        <v>39903</v>
      </c>
      <c r="D48" s="3">
        <v>40267</v>
      </c>
      <c r="E48" s="2">
        <v>1</v>
      </c>
      <c r="F48" s="5">
        <v>5.9</v>
      </c>
      <c r="G48" s="5">
        <v>0</v>
      </c>
      <c r="H48" s="5">
        <v>0</v>
      </c>
      <c r="I48" s="5">
        <v>0</v>
      </c>
      <c r="J48" s="9">
        <f t="shared" si="0"/>
        <v>5.9</v>
      </c>
    </row>
    <row r="49" spans="2:10">
      <c r="B49" s="8">
        <v>2009</v>
      </c>
      <c r="C49" s="3">
        <v>39903</v>
      </c>
      <c r="D49" s="3">
        <v>40267</v>
      </c>
      <c r="E49" s="2">
        <v>2</v>
      </c>
      <c r="F49" s="5">
        <v>5.9</v>
      </c>
      <c r="G49" s="5">
        <v>0</v>
      </c>
      <c r="H49" s="5">
        <v>0</v>
      </c>
      <c r="I49" s="5">
        <v>0</v>
      </c>
      <c r="J49" s="9">
        <f t="shared" si="0"/>
        <v>5.9</v>
      </c>
    </row>
    <row r="50" spans="2:10">
      <c r="B50" s="8">
        <v>2009</v>
      </c>
      <c r="C50" s="3">
        <v>39903</v>
      </c>
      <c r="D50" s="3">
        <v>40267</v>
      </c>
      <c r="E50" s="2">
        <v>3</v>
      </c>
      <c r="F50" s="5">
        <v>5.9</v>
      </c>
      <c r="G50" s="5">
        <v>0</v>
      </c>
      <c r="H50" s="5">
        <v>0</v>
      </c>
      <c r="I50" s="5">
        <v>0</v>
      </c>
      <c r="J50" s="9">
        <f t="shared" si="0"/>
        <v>5.9</v>
      </c>
    </row>
    <row r="51" spans="2:10">
      <c r="B51" s="8">
        <v>2008</v>
      </c>
      <c r="C51" s="3">
        <v>39538</v>
      </c>
      <c r="D51" s="3">
        <v>39902</v>
      </c>
      <c r="E51" s="2">
        <v>1</v>
      </c>
      <c r="F51" s="5">
        <v>4.6100000000000003</v>
      </c>
      <c r="G51" s="5">
        <v>2.09</v>
      </c>
      <c r="H51" s="5">
        <v>0</v>
      </c>
      <c r="I51" s="5">
        <v>2.09</v>
      </c>
      <c r="J51" s="9">
        <f t="shared" si="0"/>
        <v>4.6100000000000003</v>
      </c>
    </row>
    <row r="52" spans="2:10">
      <c r="B52" s="8">
        <v>2008</v>
      </c>
      <c r="C52" s="3">
        <v>39538</v>
      </c>
      <c r="D52" s="3">
        <v>39902</v>
      </c>
      <c r="E52" s="2">
        <v>2</v>
      </c>
      <c r="F52" s="5">
        <v>4.6100000000000003</v>
      </c>
      <c r="G52" s="5">
        <v>2.09</v>
      </c>
      <c r="H52" s="5">
        <v>0</v>
      </c>
      <c r="I52" s="5">
        <v>1.05</v>
      </c>
      <c r="J52" s="9">
        <f t="shared" si="0"/>
        <v>3.5700000000000003</v>
      </c>
    </row>
    <row r="53" spans="2:10">
      <c r="B53" s="8">
        <v>2008</v>
      </c>
      <c r="C53" s="3">
        <v>39538</v>
      </c>
      <c r="D53" s="3">
        <v>39902</v>
      </c>
      <c r="E53" s="2">
        <v>3</v>
      </c>
      <c r="F53" s="5">
        <v>4.6100000000000003</v>
      </c>
      <c r="G53" s="5">
        <v>2.09</v>
      </c>
      <c r="H53" s="5">
        <v>0</v>
      </c>
      <c r="I53" s="5">
        <v>0</v>
      </c>
      <c r="J53" s="9">
        <f t="shared" si="0"/>
        <v>2.5200000000000005</v>
      </c>
    </row>
    <row r="54" spans="2:10">
      <c r="B54" s="8">
        <v>2007</v>
      </c>
      <c r="C54" s="3">
        <v>39172</v>
      </c>
      <c r="D54" s="3">
        <v>39537</v>
      </c>
      <c r="E54" s="2">
        <v>1</v>
      </c>
      <c r="F54" s="5">
        <v>3.02</v>
      </c>
      <c r="G54" s="5">
        <v>2.02</v>
      </c>
      <c r="H54" s="5">
        <v>0</v>
      </c>
      <c r="I54" s="5">
        <v>2.02</v>
      </c>
      <c r="J54" s="9">
        <f t="shared" si="0"/>
        <v>3.02</v>
      </c>
    </row>
    <row r="55" spans="2:10">
      <c r="B55" s="8">
        <v>2007</v>
      </c>
      <c r="C55" s="3">
        <v>39172</v>
      </c>
      <c r="D55" s="3">
        <v>39537</v>
      </c>
      <c r="E55" s="2">
        <v>2</v>
      </c>
      <c r="F55" s="5">
        <v>3.02</v>
      </c>
      <c r="G55" s="5">
        <v>2.02</v>
      </c>
      <c r="H55" s="5">
        <v>0</v>
      </c>
      <c r="I55" s="5">
        <v>1.01</v>
      </c>
      <c r="J55" s="9">
        <f t="shared" si="0"/>
        <v>2.0099999999999998</v>
      </c>
    </row>
    <row r="56" spans="2:10">
      <c r="B56" s="8">
        <v>2007</v>
      </c>
      <c r="C56" s="3">
        <v>39172</v>
      </c>
      <c r="D56" s="3">
        <v>39537</v>
      </c>
      <c r="E56" s="2">
        <v>3</v>
      </c>
      <c r="F56" s="5">
        <v>3.02</v>
      </c>
      <c r="G56" s="5">
        <v>2.02</v>
      </c>
      <c r="H56" s="5">
        <v>0</v>
      </c>
      <c r="I56" s="5">
        <v>0</v>
      </c>
      <c r="J56" s="9">
        <f t="shared" si="0"/>
        <v>1</v>
      </c>
    </row>
    <row r="57" spans="2:10">
      <c r="B57" s="1"/>
      <c r="C57" s="1"/>
      <c r="D57" s="1"/>
      <c r="E57" s="1"/>
      <c r="F57" s="2"/>
      <c r="G57" s="2"/>
      <c r="H57" s="2"/>
      <c r="I57" s="2"/>
      <c r="J57" s="2"/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reajuste_anual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Jéssica Portal</dc:creator>
  <cp:lastModifiedBy>Jéssica Portal</cp:lastModifiedBy>
  <dcterms:created xsi:type="dcterms:W3CDTF">2025-06-21T22:38:47Z</dcterms:created>
  <dcterms:modified xsi:type="dcterms:W3CDTF">2025-06-22T22:10:05Z</dcterms:modified>
</cp:coreProperties>
</file>